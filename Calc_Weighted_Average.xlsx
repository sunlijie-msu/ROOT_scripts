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24\root_scripts\"/>
    </mc:Choice>
  </mc:AlternateContent>
  <xr:revisionPtr revIDLastSave="0" documentId="13_ncr:1_{27386279-4E0D-4AD0-9271-D961F3BD5FD3}" xr6:coauthVersionLast="47" xr6:coauthVersionMax="47" xr10:uidLastSave="{00000000-0000-0000-0000-000000000000}"/>
  <bookViews>
    <workbookView xWindow="5616" yWindow="312" windowWidth="17280" windowHeight="9072" xr2:uid="{49128516-656E-4F2E-B8C4-C265BEB2B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" i="1" l="1"/>
  <c r="I1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F6" i="1"/>
  <c r="F7" i="1"/>
  <c r="F16" i="1"/>
  <c r="E6" i="1"/>
  <c r="E7" i="1"/>
  <c r="E16" i="1"/>
  <c r="C3" i="1"/>
  <c r="D3" i="1"/>
  <c r="E3" i="1" s="1"/>
  <c r="C4" i="1"/>
  <c r="D4" i="1"/>
  <c r="E4" i="1" s="1"/>
  <c r="C5" i="1"/>
  <c r="D5" i="1"/>
  <c r="E5" i="1" s="1"/>
  <c r="C6" i="1"/>
  <c r="D6" i="1"/>
  <c r="C7" i="1"/>
  <c r="D7" i="1"/>
  <c r="C8" i="1"/>
  <c r="D8" i="1"/>
  <c r="E8" i="1" s="1"/>
  <c r="F8" i="1" s="1"/>
  <c r="C9" i="1"/>
  <c r="D9" i="1"/>
  <c r="E9" i="1" s="1"/>
  <c r="F9" i="1" s="1"/>
  <c r="C10" i="1"/>
  <c r="D10" i="1"/>
  <c r="E10" i="1" s="1"/>
  <c r="F10" i="1" s="1"/>
  <c r="C11" i="1"/>
  <c r="D11" i="1"/>
  <c r="E11" i="1" s="1"/>
  <c r="F11" i="1" s="1"/>
  <c r="C12" i="1"/>
  <c r="D12" i="1"/>
  <c r="E12" i="1" s="1"/>
  <c r="F12" i="1" s="1"/>
  <c r="C13" i="1"/>
  <c r="D13" i="1"/>
  <c r="E13" i="1" s="1"/>
  <c r="F13" i="1" s="1"/>
  <c r="C14" i="1"/>
  <c r="D14" i="1"/>
  <c r="E14" i="1" s="1"/>
  <c r="F14" i="1" s="1"/>
  <c r="C15" i="1"/>
  <c r="D15" i="1"/>
  <c r="E15" i="1" s="1"/>
  <c r="C16" i="1"/>
  <c r="D16" i="1"/>
  <c r="D2" i="1"/>
  <c r="C2" i="1"/>
  <c r="E2" i="1"/>
  <c r="E17" i="1" l="1"/>
  <c r="G17" i="1" s="1"/>
  <c r="F15" i="1"/>
  <c r="F5" i="1"/>
  <c r="F4" i="1"/>
  <c r="F3" i="1"/>
  <c r="F2" i="1"/>
  <c r="F17" i="1" s="1"/>
  <c r="C17" i="1" l="1"/>
  <c r="H6" i="1" l="1"/>
  <c r="H7" i="1"/>
  <c r="H8" i="1"/>
  <c r="H9" i="1"/>
  <c r="H16" i="1"/>
  <c r="H2" i="1"/>
  <c r="H3" i="1"/>
  <c r="H14" i="1"/>
  <c r="H4" i="1"/>
  <c r="H13" i="1"/>
  <c r="H12" i="1"/>
  <c r="H11" i="1"/>
  <c r="H10" i="1"/>
  <c r="H5" i="1"/>
  <c r="H15" i="1"/>
  <c r="H17" i="1" l="1"/>
  <c r="D17" i="1" l="1"/>
</calcChain>
</file>

<file path=xl/sharedStrings.xml><?xml version="1.0" encoding="utf-8"?>
<sst xmlns="http://schemas.openxmlformats.org/spreadsheetml/2006/main" count="44" uniqueCount="43">
  <si>
    <r>
      <t>a</t>
    </r>
    <r>
      <rPr>
        <vertAlign val="subscript"/>
        <sz val="11"/>
        <color indexed="8"/>
        <rFont val="Times New Roman"/>
        <family val="1"/>
      </rPr>
      <t>i</t>
    </r>
  </si>
  <si>
    <r>
      <t>u</t>
    </r>
    <r>
      <rPr>
        <vertAlign val="subscript"/>
        <sz val="11"/>
        <color indexed="8"/>
        <rFont val="Times New Roman"/>
        <family val="1"/>
      </rPr>
      <t>ci</t>
    </r>
  </si>
  <si>
    <r>
      <t>p</t>
    </r>
    <r>
      <rPr>
        <vertAlign val="subscript"/>
        <sz val="11"/>
        <color indexed="8"/>
        <rFont val="Times New Roman"/>
        <family val="1"/>
      </rPr>
      <t>i</t>
    </r>
    <r>
      <rPr>
        <sz val="11"/>
        <color indexed="8"/>
        <rFont val="Times New Roman"/>
        <family val="1"/>
      </rPr>
      <t>=1/u</t>
    </r>
    <r>
      <rPr>
        <vertAlign val="subscript"/>
        <sz val="11"/>
        <color indexed="8"/>
        <rFont val="Times New Roman"/>
        <family val="1"/>
      </rPr>
      <t>ci</t>
    </r>
    <r>
      <rPr>
        <vertAlign val="superscript"/>
        <sz val="11"/>
        <color indexed="8"/>
        <rFont val="Times New Roman"/>
        <family val="1"/>
      </rPr>
      <t>2</t>
    </r>
  </si>
  <si>
    <r>
      <t>p</t>
    </r>
    <r>
      <rPr>
        <vertAlign val="subscript"/>
        <sz val="11"/>
        <color indexed="8"/>
        <rFont val="Times New Roman"/>
        <family val="1"/>
      </rPr>
      <t>i</t>
    </r>
    <r>
      <rPr>
        <sz val="11"/>
        <color indexed="8"/>
        <rFont val="Times New Roman"/>
        <family val="1"/>
      </rPr>
      <t>*a</t>
    </r>
    <r>
      <rPr>
        <vertAlign val="subscript"/>
        <sz val="11"/>
        <color indexed="8"/>
        <rFont val="Times New Roman"/>
        <family val="1"/>
      </rPr>
      <t>i</t>
    </r>
  </si>
  <si>
    <r>
      <t>σ</t>
    </r>
    <r>
      <rPr>
        <vertAlign val="subscript"/>
        <sz val="11"/>
        <color indexed="8"/>
        <rFont val="Times New Roman"/>
        <family val="1"/>
      </rPr>
      <t>int</t>
    </r>
    <r>
      <rPr>
        <sz val="11"/>
        <color indexed="8"/>
        <rFont val="Times New Roman"/>
        <family val="1"/>
      </rPr>
      <t>(a</t>
    </r>
    <r>
      <rPr>
        <vertAlign val="subscript"/>
        <sz val="11"/>
        <color indexed="8"/>
        <rFont val="Times New Roman"/>
        <family val="1"/>
      </rPr>
      <t>w</t>
    </r>
    <r>
      <rPr>
        <sz val="11"/>
        <color indexed="8"/>
        <rFont val="Times New Roman"/>
        <family val="1"/>
      </rPr>
      <t>)</t>
    </r>
  </si>
  <si>
    <t>χ2</t>
  </si>
  <si>
    <r>
      <t>σ</t>
    </r>
    <r>
      <rPr>
        <vertAlign val="subscript"/>
        <sz val="11"/>
        <color indexed="8"/>
        <rFont val="Times New Roman"/>
        <family val="1"/>
      </rPr>
      <t>ext</t>
    </r>
    <r>
      <rPr>
        <sz val="11"/>
        <color indexed="8"/>
        <rFont val="Times New Roman"/>
        <family val="1"/>
      </rPr>
      <t>(a</t>
    </r>
    <r>
      <rPr>
        <vertAlign val="subscript"/>
        <sz val="11"/>
        <color indexed="8"/>
        <rFont val="Times New Roman"/>
        <family val="1"/>
      </rPr>
      <t>w</t>
    </r>
    <r>
      <rPr>
        <sz val="11"/>
        <color indexed="8"/>
        <rFont val="Times New Roman"/>
        <family val="1"/>
      </rPr>
      <t>)</t>
    </r>
  </si>
  <si>
    <t>ν=n-1</t>
  </si>
  <si>
    <r>
      <t>a</t>
    </r>
    <r>
      <rPr>
        <vertAlign val="subscript"/>
        <sz val="11"/>
        <color indexed="8"/>
        <rFont val="Times New Roman"/>
        <family val="1"/>
      </rPr>
      <t>1</t>
    </r>
  </si>
  <si>
    <r>
      <t>a</t>
    </r>
    <r>
      <rPr>
        <vertAlign val="subscript"/>
        <sz val="11"/>
        <color indexed="8"/>
        <rFont val="Times New Roman"/>
        <family val="1"/>
      </rPr>
      <t>2</t>
    </r>
  </si>
  <si>
    <r>
      <t>a</t>
    </r>
    <r>
      <rPr>
        <vertAlign val="subscript"/>
        <sz val="11"/>
        <color indexed="8"/>
        <rFont val="Times New Roman"/>
        <family val="1"/>
      </rPr>
      <t>3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</si>
  <si>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4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</si>
  <si>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5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</si>
  <si>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w</t>
    </r>
  </si>
  <si>
    <t>weights</t>
  </si>
  <si>
    <t>Value</t>
  </si>
  <si>
    <t>Uncertainty</t>
  </si>
  <si>
    <t>Reference</t>
  </si>
  <si>
    <t>Vartapetian_AP1958</t>
  </si>
  <si>
    <t>Beling_PR1952</t>
  </si>
  <si>
    <t>Unik_Thesis1960</t>
  </si>
  <si>
    <t>Oberhofer_Thesis1968</t>
  </si>
  <si>
    <t>Garg_ZP1971</t>
  </si>
  <si>
    <t>McBeth_NIM1972</t>
  </si>
  <si>
    <t>Miller_NIM1972</t>
  </si>
  <si>
    <t>Bishop_NIM1974</t>
  </si>
  <si>
    <t>Finck_NIMA1985</t>
  </si>
  <si>
    <t>Vretenar_AJP2019</t>
  </si>
  <si>
    <t>Dutsov_ARI2021</t>
  </si>
  <si>
    <t>Takacs_ARI2021</t>
  </si>
  <si>
    <t>Santos_NPA2023</t>
  </si>
  <si>
    <t>Present_work</t>
  </si>
  <si>
    <r>
      <t>a</t>
    </r>
    <r>
      <rPr>
        <vertAlign val="subscript"/>
        <sz val="11"/>
        <color indexed="8"/>
        <rFont val="Times New Roman"/>
        <family val="1"/>
      </rPr>
      <t>6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</si>
  <si>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7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</si>
  <si>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8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</si>
  <si>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9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</si>
  <si>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10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</si>
  <si>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11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</si>
  <si>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12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</si>
  <si>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13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</si>
  <si>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14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</si>
  <si>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indexed="8"/>
        <rFont val="Times New Roman"/>
        <family val="1"/>
      </rPr>
      <t>15</t>
    </r>
    <r>
      <rPr>
        <sz val="11"/>
        <color theme="1"/>
        <rFont val="Calibri"/>
        <family val="2"/>
        <scheme val="minor"/>
      </rPr>
      <t/>
    </r>
  </si>
  <si>
    <t>χ2/(n-1)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</si>
</sst>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%"/>
    <numFmt numFmtId="167" formatCode="0.00_ "/>
    <numFmt numFmtId="169" formatCode="0.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vertAlign val="subscript"/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sz val="11"/>
      <color theme="0" tint="-0.749992370372631"/>
      <name val="Times New Roman"/>
      <family val="1"/>
    </font>
    <font>
      <sz val="11"/>
      <color rgb="FF7030A0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FF0000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9" fillId="0" borderId="0" xfId="1" applyNumberFormat="1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167" fontId="3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165" fontId="6" fillId="0" borderId="0" xfId="1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169" fontId="10" fillId="0" borderId="0" xfId="0" applyNumberFormat="1" applyFont="1" applyBorder="1" applyAlignment="1">
      <alignment horizontal="center" vertical="center"/>
    </xf>
    <xf numFmtId="164" fontId="10" fillId="0" borderId="0" xfId="1" applyNumberFormat="1" applyFont="1" applyFill="1" applyBorder="1" applyAlignment="1">
      <alignment horizontal="center" vertical="center"/>
    </xf>
    <xf numFmtId="10" fontId="3" fillId="0" borderId="0" xfId="1" applyNumberFormat="1" applyFont="1" applyBorder="1" applyAlignment="1">
      <alignment horizontal="center" vertical="center"/>
    </xf>
    <xf numFmtId="167" fontId="12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B840-A9D2-4CDC-90F2-19E028D0F72E}">
  <dimension ref="A1:O18"/>
  <sheetViews>
    <sheetView tabSelected="1" topLeftCell="B1" workbookViewId="0">
      <selection activeCell="K17" sqref="K17"/>
    </sheetView>
  </sheetViews>
  <sheetFormatPr defaultRowHeight="14.4" x14ac:dyDescent="0.3"/>
  <cols>
    <col min="1" max="1" width="3" style="7" bestFit="1" customWidth="1"/>
    <col min="2" max="2" width="2.88671875" style="7" bestFit="1" customWidth="1"/>
    <col min="3" max="4" width="6.44140625" style="8" bestFit="1" customWidth="1"/>
    <col min="5" max="5" width="7.6640625" style="7" bestFit="1" customWidth="1"/>
    <col min="6" max="6" width="8.5546875" style="7" bestFit="1" customWidth="1"/>
    <col min="7" max="7" width="6.88671875" style="7" bestFit="1" customWidth="1"/>
    <col min="8" max="8" width="6.109375" style="7" bestFit="1" customWidth="1"/>
    <col min="9" max="9" width="7" style="7" bestFit="1" customWidth="1"/>
    <col min="10" max="10" width="7.5546875" style="7" bestFit="1" customWidth="1"/>
    <col min="11" max="11" width="7.5546875" style="7" customWidth="1"/>
    <col min="12" max="12" width="8.88671875" style="7"/>
    <col min="13" max="13" width="6.109375" style="7" bestFit="1" customWidth="1"/>
    <col min="14" max="14" width="10.6640625" style="7" bestFit="1" customWidth="1"/>
    <col min="15" max="15" width="19.6640625" style="7" bestFit="1" customWidth="1"/>
    <col min="16" max="16384" width="8.88671875" style="7"/>
  </cols>
  <sheetData>
    <row r="1" spans="1:15" ht="16.8" x14ac:dyDescent="0.3">
      <c r="A1" s="1"/>
      <c r="B1" s="1"/>
      <c r="C1" s="9" t="s">
        <v>0</v>
      </c>
      <c r="D1" s="2" t="s">
        <v>1</v>
      </c>
      <c r="E1" s="1" t="s">
        <v>2</v>
      </c>
      <c r="F1" s="1" t="s">
        <v>3</v>
      </c>
      <c r="G1" s="10" t="s">
        <v>4</v>
      </c>
      <c r="H1" s="11" t="s">
        <v>5</v>
      </c>
      <c r="I1" s="10" t="s">
        <v>6</v>
      </c>
      <c r="J1" s="12" t="s">
        <v>7</v>
      </c>
      <c r="K1" s="18" t="s">
        <v>14</v>
      </c>
      <c r="M1" s="7" t="s">
        <v>15</v>
      </c>
      <c r="N1" s="7" t="s">
        <v>16</v>
      </c>
      <c r="O1" s="7" t="s">
        <v>17</v>
      </c>
    </row>
    <row r="2" spans="1:15" ht="16.2" x14ac:dyDescent="0.3">
      <c r="A2" s="1"/>
      <c r="B2" s="1" t="s">
        <v>8</v>
      </c>
      <c r="C2" s="22">
        <f>M2</f>
        <v>62</v>
      </c>
      <c r="D2" s="22">
        <f>N2</f>
        <v>3</v>
      </c>
      <c r="E2" s="5">
        <f>1/(D2^2)</f>
        <v>0.1111111111111111</v>
      </c>
      <c r="F2" s="5">
        <f>C2*E2</f>
        <v>6.8888888888888884</v>
      </c>
      <c r="G2" s="1"/>
      <c r="H2" s="6">
        <f>(C2-C$17)^2*E2</f>
        <v>3.8616762486402512</v>
      </c>
      <c r="I2" s="6"/>
      <c r="J2" s="1">
        <v>0</v>
      </c>
      <c r="K2" s="21">
        <f>F2/F$17</f>
        <v>2.0118329964132243E-4</v>
      </c>
      <c r="M2" s="7">
        <v>62</v>
      </c>
      <c r="N2" s="7">
        <v>3</v>
      </c>
      <c r="O2" s="7" t="s">
        <v>18</v>
      </c>
    </row>
    <row r="3" spans="1:15" ht="16.2" x14ac:dyDescent="0.3">
      <c r="A3" s="1"/>
      <c r="B3" s="1" t="s">
        <v>9</v>
      </c>
      <c r="C3" s="22">
        <f t="shared" ref="C3:C16" si="0">M3</f>
        <v>63</v>
      </c>
      <c r="D3" s="22">
        <f t="shared" ref="D3:D16" si="1">N3</f>
        <v>5</v>
      </c>
      <c r="E3" s="5">
        <f t="shared" ref="E3:E16" si="2">1/(D3^2)</f>
        <v>0.04</v>
      </c>
      <c r="F3" s="5">
        <f t="shared" ref="F3:F16" si="3">C3*E3</f>
        <v>2.52</v>
      </c>
      <c r="G3" s="1"/>
      <c r="H3" s="6">
        <f t="shared" ref="H3:H16" si="4">(C3-C$17)^2*E3</f>
        <v>0.958575893146702</v>
      </c>
      <c r="I3" s="6"/>
      <c r="J3" s="1">
        <v>1</v>
      </c>
      <c r="K3" s="21">
        <f t="shared" ref="K3:K16" si="5">F3/F$17</f>
        <v>7.3594148965567638E-5</v>
      </c>
      <c r="M3" s="7">
        <v>63</v>
      </c>
      <c r="N3" s="7">
        <v>5</v>
      </c>
      <c r="O3" s="7" t="s">
        <v>19</v>
      </c>
    </row>
    <row r="4" spans="1:15" ht="16.2" x14ac:dyDescent="0.3">
      <c r="A4" s="1"/>
      <c r="B4" s="1" t="s">
        <v>10</v>
      </c>
      <c r="C4" s="22">
        <f t="shared" si="0"/>
        <v>63</v>
      </c>
      <c r="D4" s="22">
        <f t="shared" si="1"/>
        <v>5</v>
      </c>
      <c r="E4" s="5">
        <f t="shared" si="2"/>
        <v>0.04</v>
      </c>
      <c r="F4" s="5">
        <f t="shared" si="3"/>
        <v>2.52</v>
      </c>
      <c r="G4" s="1"/>
      <c r="H4" s="6">
        <f t="shared" si="4"/>
        <v>0.958575893146702</v>
      </c>
      <c r="I4" s="6"/>
      <c r="J4" s="1">
        <v>2</v>
      </c>
      <c r="K4" s="21">
        <f t="shared" si="5"/>
        <v>7.3594148965567638E-5</v>
      </c>
      <c r="M4" s="7">
        <v>63</v>
      </c>
      <c r="N4" s="7">
        <v>5</v>
      </c>
      <c r="O4" s="7" t="s">
        <v>20</v>
      </c>
    </row>
    <row r="5" spans="1:15" ht="16.2" x14ac:dyDescent="0.3">
      <c r="A5" s="1"/>
      <c r="B5" s="1" t="s">
        <v>11</v>
      </c>
      <c r="C5" s="22">
        <f t="shared" si="0"/>
        <v>64.2</v>
      </c>
      <c r="D5" s="22">
        <f t="shared" si="1"/>
        <v>2</v>
      </c>
      <c r="E5" s="5">
        <f>1/(D5^2)</f>
        <v>0.25</v>
      </c>
      <c r="F5" s="5">
        <f t="shared" si="3"/>
        <v>16.05</v>
      </c>
      <c r="G5" s="1"/>
      <c r="H5" s="6">
        <f t="shared" si="4"/>
        <v>3.4138926594384684</v>
      </c>
      <c r="I5" s="6"/>
      <c r="J5" s="1">
        <v>3</v>
      </c>
      <c r="K5" s="21">
        <f t="shared" si="5"/>
        <v>4.6872463924498437E-4</v>
      </c>
      <c r="M5" s="7">
        <v>64.2</v>
      </c>
      <c r="N5" s="7">
        <v>2</v>
      </c>
      <c r="O5" s="7" t="s">
        <v>21</v>
      </c>
    </row>
    <row r="6" spans="1:15" ht="16.2" x14ac:dyDescent="0.3">
      <c r="A6" s="13"/>
      <c r="B6" s="1" t="s">
        <v>12</v>
      </c>
      <c r="C6" s="22">
        <f t="shared" si="0"/>
        <v>66.7</v>
      </c>
      <c r="D6" s="22">
        <f t="shared" si="1"/>
        <v>0.7</v>
      </c>
      <c r="E6" s="5">
        <f t="shared" si="2"/>
        <v>2.0408163265306127</v>
      </c>
      <c r="F6" s="5">
        <f t="shared" si="3"/>
        <v>136.12244897959187</v>
      </c>
      <c r="G6" s="1"/>
      <c r="H6" s="6">
        <f t="shared" si="4"/>
        <v>2.9160170714634881</v>
      </c>
      <c r="I6" s="6"/>
      <c r="J6" s="1">
        <v>4</v>
      </c>
      <c r="K6" s="21">
        <f t="shared" si="5"/>
        <v>3.975323725302367E-3</v>
      </c>
      <c r="M6" s="7">
        <v>66.7</v>
      </c>
      <c r="N6" s="7">
        <v>0.7</v>
      </c>
      <c r="O6" s="7" t="s">
        <v>22</v>
      </c>
    </row>
    <row r="7" spans="1:15" ht="16.2" x14ac:dyDescent="0.3">
      <c r="A7" s="13"/>
      <c r="B7" s="1" t="s">
        <v>32</v>
      </c>
      <c r="C7" s="22">
        <f t="shared" si="0"/>
        <v>66.900000000000006</v>
      </c>
      <c r="D7" s="22">
        <f t="shared" si="1"/>
        <v>1</v>
      </c>
      <c r="E7" s="5">
        <f t="shared" si="2"/>
        <v>1</v>
      </c>
      <c r="F7" s="5">
        <f t="shared" si="3"/>
        <v>66.900000000000006</v>
      </c>
      <c r="G7" s="1"/>
      <c r="H7" s="6">
        <f t="shared" si="4"/>
        <v>0.99071058319816208</v>
      </c>
      <c r="I7" s="6"/>
      <c r="J7" s="1">
        <v>5</v>
      </c>
      <c r="K7" s="21">
        <f t="shared" si="5"/>
        <v>1.9537494308716173E-3</v>
      </c>
      <c r="M7" s="7">
        <v>66.900000000000006</v>
      </c>
      <c r="N7" s="7">
        <v>1</v>
      </c>
      <c r="O7" s="7" t="s">
        <v>23</v>
      </c>
    </row>
    <row r="8" spans="1:15" ht="16.2" x14ac:dyDescent="0.3">
      <c r="A8" s="13"/>
      <c r="B8" s="1" t="s">
        <v>33</v>
      </c>
      <c r="C8" s="22">
        <f t="shared" si="0"/>
        <v>67.8</v>
      </c>
      <c r="D8" s="22">
        <f t="shared" si="1"/>
        <v>1</v>
      </c>
      <c r="E8" s="5">
        <f t="shared" si="2"/>
        <v>1</v>
      </c>
      <c r="F8" s="5">
        <f t="shared" si="3"/>
        <v>67.8</v>
      </c>
      <c r="G8" s="1"/>
      <c r="H8" s="6">
        <f t="shared" si="4"/>
        <v>9.0905650129333559E-3</v>
      </c>
      <c r="I8" s="6"/>
      <c r="J8" s="1">
        <v>6</v>
      </c>
      <c r="K8" s="21">
        <f t="shared" si="5"/>
        <v>1.9800330555021766E-3</v>
      </c>
      <c r="M8" s="7">
        <v>67.8</v>
      </c>
      <c r="N8" s="7">
        <v>1</v>
      </c>
      <c r="O8" s="7" t="s">
        <v>23</v>
      </c>
    </row>
    <row r="9" spans="1:15" ht="16.2" x14ac:dyDescent="0.3">
      <c r="A9" s="13"/>
      <c r="B9" s="1" t="s">
        <v>34</v>
      </c>
      <c r="C9" s="22">
        <f t="shared" si="0"/>
        <v>68.3</v>
      </c>
      <c r="D9" s="22">
        <f t="shared" si="1"/>
        <v>0.2</v>
      </c>
      <c r="E9" s="5">
        <f t="shared" si="2"/>
        <v>24.999999999999996</v>
      </c>
      <c r="F9" s="5">
        <f t="shared" si="3"/>
        <v>1707.4999999999998</v>
      </c>
      <c r="G9" s="1"/>
      <c r="H9" s="6">
        <f t="shared" si="4"/>
        <v>4.0936527616393645</v>
      </c>
      <c r="I9" s="6"/>
      <c r="J9" s="1">
        <v>7</v>
      </c>
      <c r="K9" s="21">
        <f t="shared" si="5"/>
        <v>4.9865876729645521E-2</v>
      </c>
      <c r="M9" s="7">
        <v>68.3</v>
      </c>
      <c r="N9" s="7">
        <v>0.2</v>
      </c>
      <c r="O9" s="7" t="s">
        <v>24</v>
      </c>
    </row>
    <row r="10" spans="1:15" ht="16.2" x14ac:dyDescent="0.3">
      <c r="A10" s="13"/>
      <c r="B10" s="1" t="s">
        <v>35</v>
      </c>
      <c r="C10" s="22">
        <f t="shared" si="0"/>
        <v>68.5</v>
      </c>
      <c r="D10" s="22">
        <f t="shared" si="1"/>
        <v>0.4</v>
      </c>
      <c r="E10" s="5">
        <f t="shared" si="2"/>
        <v>6.2499999999999991</v>
      </c>
      <c r="F10" s="5">
        <f t="shared" si="3"/>
        <v>428.12499999999994</v>
      </c>
      <c r="G10" s="1"/>
      <c r="H10" s="6">
        <f t="shared" si="4"/>
        <v>2.2850520540414658</v>
      </c>
      <c r="I10" s="6"/>
      <c r="J10" s="1">
        <v>8</v>
      </c>
      <c r="K10" s="21">
        <f t="shared" si="5"/>
        <v>1.2502974216620492E-2</v>
      </c>
      <c r="M10" s="7">
        <v>68.5</v>
      </c>
      <c r="N10" s="7">
        <v>0.4</v>
      </c>
      <c r="O10" s="7" t="s">
        <v>25</v>
      </c>
    </row>
    <row r="11" spans="1:15" ht="16.2" x14ac:dyDescent="0.3">
      <c r="A11" s="13"/>
      <c r="B11" s="1" t="s">
        <v>36</v>
      </c>
      <c r="C11" s="22">
        <f t="shared" si="0"/>
        <v>70</v>
      </c>
      <c r="D11" s="22">
        <f t="shared" si="1"/>
        <v>4</v>
      </c>
      <c r="E11" s="5">
        <f t="shared" si="2"/>
        <v>6.25E-2</v>
      </c>
      <c r="F11" s="5">
        <f t="shared" si="3"/>
        <v>4.375</v>
      </c>
      <c r="G11" s="1"/>
      <c r="H11" s="6">
        <f t="shared" si="4"/>
        <v>0.27684843531278541</v>
      </c>
      <c r="I11" s="6"/>
      <c r="J11" s="1">
        <v>9</v>
      </c>
      <c r="K11" s="21">
        <f t="shared" si="5"/>
        <v>1.2776761973188824E-4</v>
      </c>
      <c r="M11" s="7">
        <v>70</v>
      </c>
      <c r="N11" s="7">
        <v>4</v>
      </c>
      <c r="O11" s="7" t="s">
        <v>26</v>
      </c>
    </row>
    <row r="12" spans="1:15" ht="16.2" x14ac:dyDescent="0.3">
      <c r="A12" s="13"/>
      <c r="B12" s="1" t="s">
        <v>37</v>
      </c>
      <c r="C12" s="22">
        <f t="shared" si="0"/>
        <v>67.7</v>
      </c>
      <c r="D12" s="22">
        <f t="shared" si="1"/>
        <v>0.1</v>
      </c>
      <c r="E12" s="5">
        <f t="shared" si="2"/>
        <v>99.999999999999986</v>
      </c>
      <c r="F12" s="5">
        <f t="shared" si="3"/>
        <v>6769.9999999999991</v>
      </c>
      <c r="G12" s="1"/>
      <c r="H12" s="6">
        <f t="shared" si="4"/>
        <v>3.8159455922402881</v>
      </c>
      <c r="I12" s="6"/>
      <c r="J12" s="1">
        <v>10</v>
      </c>
      <c r="K12" s="21">
        <f t="shared" si="5"/>
        <v>0.19771126527654476</v>
      </c>
      <c r="M12" s="7">
        <v>67.7</v>
      </c>
      <c r="N12" s="7">
        <v>0.1</v>
      </c>
      <c r="O12" s="7" t="s">
        <v>27</v>
      </c>
    </row>
    <row r="13" spans="1:15" ht="16.2" x14ac:dyDescent="0.3">
      <c r="A13" s="13"/>
      <c r="B13" s="1" t="s">
        <v>38</v>
      </c>
      <c r="C13" s="22">
        <f t="shared" si="0"/>
        <v>67.599999999999994</v>
      </c>
      <c r="D13" s="22">
        <f t="shared" si="1"/>
        <v>0.25</v>
      </c>
      <c r="E13" s="5">
        <f t="shared" si="2"/>
        <v>16</v>
      </c>
      <c r="F13" s="5">
        <f t="shared" si="3"/>
        <v>1081.5999999999999</v>
      </c>
      <c r="G13" s="1"/>
      <c r="H13" s="6">
        <f t="shared" si="4"/>
        <v>1.3956535493100566</v>
      </c>
      <c r="I13" s="6"/>
      <c r="J13" s="1">
        <v>11</v>
      </c>
      <c r="K13" s="21">
        <f t="shared" si="5"/>
        <v>3.1587076000459506E-2</v>
      </c>
      <c r="M13" s="7">
        <v>67.599999999999994</v>
      </c>
      <c r="N13" s="7">
        <v>0.25</v>
      </c>
      <c r="O13" s="7" t="s">
        <v>28</v>
      </c>
    </row>
    <row r="14" spans="1:15" ht="16.2" x14ac:dyDescent="0.3">
      <c r="A14" s="13"/>
      <c r="B14" s="1" t="s">
        <v>39</v>
      </c>
      <c r="C14" s="22">
        <f t="shared" si="0"/>
        <v>67.86</v>
      </c>
      <c r="D14" s="22">
        <f t="shared" si="1"/>
        <v>0.09</v>
      </c>
      <c r="E14" s="5">
        <f t="shared" si="2"/>
        <v>123.4567901234568</v>
      </c>
      <c r="F14" s="5">
        <f t="shared" si="3"/>
        <v>8377.7777777777774</v>
      </c>
      <c r="G14" s="1"/>
      <c r="H14" s="6">
        <f t="shared" si="4"/>
        <v>0.15422598361112927</v>
      </c>
      <c r="I14" s="6"/>
      <c r="J14" s="1">
        <v>12</v>
      </c>
      <c r="K14" s="21">
        <f t="shared" si="5"/>
        <v>0.24466485149928568</v>
      </c>
      <c r="M14" s="7">
        <v>67.86</v>
      </c>
      <c r="N14" s="7">
        <v>0.09</v>
      </c>
      <c r="O14" s="7" t="s">
        <v>29</v>
      </c>
    </row>
    <row r="15" spans="1:15" ht="16.2" x14ac:dyDescent="0.3">
      <c r="A15" s="13"/>
      <c r="B15" s="1" t="s">
        <v>40</v>
      </c>
      <c r="C15" s="22">
        <f t="shared" si="0"/>
        <v>67.599999999999994</v>
      </c>
      <c r="D15" s="22">
        <f t="shared" si="1"/>
        <v>0.2</v>
      </c>
      <c r="E15" s="5">
        <f t="shared" si="2"/>
        <v>24.999999999999996</v>
      </c>
      <c r="F15" s="5">
        <f t="shared" si="3"/>
        <v>1689.9999999999995</v>
      </c>
      <c r="G15" s="1"/>
      <c r="H15" s="6">
        <f t="shared" si="4"/>
        <v>2.180708670796963</v>
      </c>
      <c r="I15" s="6"/>
      <c r="J15" s="1">
        <v>13</v>
      </c>
      <c r="K15" s="21">
        <f t="shared" si="5"/>
        <v>4.9354806250717961E-2</v>
      </c>
      <c r="M15" s="7">
        <v>67.599999999999994</v>
      </c>
      <c r="N15" s="7">
        <v>0.2</v>
      </c>
      <c r="O15" s="7" t="s">
        <v>30</v>
      </c>
    </row>
    <row r="16" spans="1:15" ht="16.2" x14ac:dyDescent="0.3">
      <c r="A16" s="13"/>
      <c r="B16" s="1" t="s">
        <v>41</v>
      </c>
      <c r="C16" s="22">
        <f t="shared" si="0"/>
        <v>68.03</v>
      </c>
      <c r="D16" s="22">
        <f t="shared" si="1"/>
        <v>7.0000000000000007E-2</v>
      </c>
      <c r="E16" s="5">
        <f t="shared" si="2"/>
        <v>204.08163265306121</v>
      </c>
      <c r="F16" s="5">
        <f t="shared" si="3"/>
        <v>13883.673469387753</v>
      </c>
      <c r="G16" s="1"/>
      <c r="H16" s="6">
        <f t="shared" si="4"/>
        <v>3.700431820642736</v>
      </c>
      <c r="I16" s="6"/>
      <c r="J16" s="1">
        <v>14</v>
      </c>
      <c r="K16" s="21">
        <f t="shared" si="5"/>
        <v>0.40545917995850062</v>
      </c>
      <c r="M16" s="7">
        <v>68.03</v>
      </c>
      <c r="N16" s="7">
        <v>7.0000000000000007E-2</v>
      </c>
      <c r="O16" s="7" t="s">
        <v>31</v>
      </c>
    </row>
    <row r="17" spans="1:11" ht="16.2" x14ac:dyDescent="0.3">
      <c r="A17" s="14"/>
      <c r="B17" s="2" t="s">
        <v>13</v>
      </c>
      <c r="C17" s="3">
        <f>F17/E17</f>
        <v>67.895344454547356</v>
      </c>
      <c r="D17" s="4">
        <f>MAX(G17,I17)</f>
        <v>6.6272849422103902E-2</v>
      </c>
      <c r="E17" s="15">
        <f>SUM(E2:E16)</f>
        <v>504.33285021415969</v>
      </c>
      <c r="F17" s="15">
        <f>SUM(F2:F16)</f>
        <v>34241.852585034008</v>
      </c>
      <c r="G17" s="20">
        <f>SQRT(1/E17)</f>
        <v>4.452883894244377E-2</v>
      </c>
      <c r="H17" s="16">
        <f>SUM(H2:H16)</f>
        <v>31.011057781641497</v>
      </c>
      <c r="I17" s="20">
        <f>SQRT(H17/(J16*E17))</f>
        <v>6.6272849422103902E-2</v>
      </c>
      <c r="J17" s="9">
        <f>H17/J16</f>
        <v>2.2150755558315356</v>
      </c>
      <c r="K17" s="17"/>
    </row>
    <row r="18" spans="1:11" x14ac:dyDescent="0.3">
      <c r="A18" s="1"/>
      <c r="B18" s="1"/>
      <c r="C18" s="2"/>
      <c r="D18" s="2"/>
      <c r="F18" s="18"/>
      <c r="G18" s="19"/>
      <c r="H18" s="1"/>
      <c r="I18" s="1"/>
      <c r="J18" s="11" t="s">
        <v>42</v>
      </c>
      <c r="K18" s="1"/>
    </row>
  </sheetData>
  <phoneticPr fontId="1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 Sun</dc:creator>
  <cp:lastModifiedBy>Lijie Sun</cp:lastModifiedBy>
  <dcterms:created xsi:type="dcterms:W3CDTF">2026-06-18T20:04:49Z</dcterms:created>
  <dcterms:modified xsi:type="dcterms:W3CDTF">2026-06-18T21:11:06Z</dcterms:modified>
</cp:coreProperties>
</file>